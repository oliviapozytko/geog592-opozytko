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iviapozytko/Documents/dev/geog592-opozytko/homework/week07/"/>
    </mc:Choice>
  </mc:AlternateContent>
  <xr:revisionPtr revIDLastSave="0" documentId="13_ncr:1_{86228B30-57DE-6140-A4A0-D072717ACDBF}" xr6:coauthVersionLast="47" xr6:coauthVersionMax="47" xr10:uidLastSave="{00000000-0000-0000-0000-000000000000}"/>
  <bookViews>
    <workbookView xWindow="660" yWindow="760" windowWidth="28040" windowHeight="16580" xr2:uid="{6C12FDFD-C381-704B-A463-2B093A25C071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2" i="1"/>
  <c r="A18" i="2"/>
  <c r="A19" i="2"/>
  <c r="A20" i="2"/>
  <c r="A21" i="2"/>
  <c r="A22" i="2"/>
  <c r="A23" i="2"/>
  <c r="A24" i="2"/>
  <c r="A25" i="2"/>
  <c r="A26" i="2"/>
  <c r="A17" i="2"/>
  <c r="B17" i="2"/>
  <c r="B19" i="2"/>
  <c r="B20" i="2"/>
  <c r="B21" i="2"/>
  <c r="B22" i="2"/>
  <c r="B23" i="2"/>
  <c r="B24" i="2"/>
  <c r="B25" i="2"/>
  <c r="B26" i="2"/>
  <c r="B18" i="2"/>
  <c r="B16" i="2"/>
  <c r="B5" i="2"/>
  <c r="B6" i="2"/>
  <c r="B7" i="2"/>
  <c r="B8" i="2"/>
  <c r="B9" i="2"/>
  <c r="B10" i="2"/>
  <c r="B11" i="2"/>
  <c r="B12" i="2"/>
  <c r="B13" i="2"/>
  <c r="B14" i="2"/>
  <c r="B15" i="2"/>
  <c r="B4" i="2"/>
  <c r="B38" i="2"/>
  <c r="B3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2" i="1"/>
  <c r="B38" i="1"/>
  <c r="B37" i="1"/>
</calcChain>
</file>

<file path=xl/sharedStrings.xml><?xml version="1.0" encoding="utf-8"?>
<sst xmlns="http://schemas.openxmlformats.org/spreadsheetml/2006/main" count="16" uniqueCount="8">
  <si>
    <t>loc 2</t>
  </si>
  <si>
    <t>loc 1</t>
  </si>
  <si>
    <t>Air Density</t>
  </si>
  <si>
    <t>Betz Limit</t>
  </si>
  <si>
    <t>Diameter A</t>
  </si>
  <si>
    <t>Diameter B</t>
  </si>
  <si>
    <t>Area A</t>
  </si>
  <si>
    <t>Area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</si>
</sst>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loc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Sheet1!$A$2:$A$31</c:f>
              <c:numCache>
                <c:formatCode>0.00</c:formatCode>
                <c:ptCount val="30"/>
                <c:pt idx="0">
                  <c:v>4.5036937574999998</c:v>
                </c:pt>
                <c:pt idx="1">
                  <c:v>36.029550059999998</c:v>
                </c:pt>
                <c:pt idx="2">
                  <c:v>121.59973145250001</c:v>
                </c:pt>
                <c:pt idx="3">
                  <c:v>288.23640047999999</c:v>
                </c:pt>
                <c:pt idx="4">
                  <c:v>562.96171968750002</c:v>
                </c:pt>
                <c:pt idx="5">
                  <c:v>972.79785162000007</c:v>
                </c:pt>
                <c:pt idx="6">
                  <c:v>1544.7669588225001</c:v>
                </c:pt>
                <c:pt idx="7">
                  <c:v>2305.8912038399999</c:v>
                </c:pt>
                <c:pt idx="8">
                  <c:v>3283.1927492175005</c:v>
                </c:pt>
                <c:pt idx="9">
                  <c:v>4503.6937575000002</c:v>
                </c:pt>
                <c:pt idx="10">
                  <c:v>5994.4163912325002</c:v>
                </c:pt>
                <c:pt idx="11">
                  <c:v>7782.3828129600006</c:v>
                </c:pt>
                <c:pt idx="12">
                  <c:v>9894.6151852274998</c:v>
                </c:pt>
                <c:pt idx="13">
                  <c:v>12358.135670580001</c:v>
                </c:pt>
                <c:pt idx="14">
                  <c:v>15199.966431562501</c:v>
                </c:pt>
                <c:pt idx="15">
                  <c:v>18447.129630719999</c:v>
                </c:pt>
                <c:pt idx="16">
                  <c:v>22126.647430597503</c:v>
                </c:pt>
                <c:pt idx="17">
                  <c:v>26265.541993740004</c:v>
                </c:pt>
                <c:pt idx="18">
                  <c:v>30890.835482692502</c:v>
                </c:pt>
                <c:pt idx="19">
                  <c:v>36029.550060000001</c:v>
                </c:pt>
                <c:pt idx="20">
                  <c:v>41708.7078882075</c:v>
                </c:pt>
                <c:pt idx="21">
                  <c:v>47955.331129860002</c:v>
                </c:pt>
                <c:pt idx="22">
                  <c:v>54796.441947502499</c:v>
                </c:pt>
                <c:pt idx="23">
                  <c:v>62259.062503680005</c:v>
                </c:pt>
                <c:pt idx="24">
                  <c:v>70370.214960937505</c:v>
                </c:pt>
                <c:pt idx="25">
                  <c:v>79156.921481819998</c:v>
                </c:pt>
                <c:pt idx="26">
                  <c:v>88646.204228872506</c:v>
                </c:pt>
                <c:pt idx="27">
                  <c:v>98865.085364640006</c:v>
                </c:pt>
                <c:pt idx="28">
                  <c:v>109840.58705166749</c:v>
                </c:pt>
                <c:pt idx="29">
                  <c:v>121599.73145250001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B4-514A-9F52-2BF8096D7E22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loc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Sheet1!$B$2:$B$31</c:f>
              <c:numCache>
                <c:formatCode>0.00</c:formatCode>
                <c:ptCount val="30"/>
                <c:pt idx="0">
                  <c:v>7.2621919999999998</c:v>
                </c:pt>
                <c:pt idx="1">
                  <c:v>58.097535999999998</c:v>
                </c:pt>
                <c:pt idx="2">
                  <c:v>196.079184</c:v>
                </c:pt>
                <c:pt idx="3">
                  <c:v>464.78028799999998</c:v>
                </c:pt>
                <c:pt idx="4">
                  <c:v>907.77400000000011</c:v>
                </c:pt>
                <c:pt idx="5">
                  <c:v>1568.633472</c:v>
                </c:pt>
                <c:pt idx="6">
                  <c:v>2490.9318560000002</c:v>
                </c:pt>
                <c:pt idx="7">
                  <c:v>3718.2423039999999</c:v>
                </c:pt>
                <c:pt idx="8">
                  <c:v>5294.137968</c:v>
                </c:pt>
                <c:pt idx="9">
                  <c:v>7262.1920000000009</c:v>
                </c:pt>
                <c:pt idx="10">
                  <c:v>9665.9775519999985</c:v>
                </c:pt>
                <c:pt idx="11">
                  <c:v>12549.067776</c:v>
                </c:pt>
                <c:pt idx="12">
                  <c:v>15955.035824000001</c:v>
                </c:pt>
                <c:pt idx="13">
                  <c:v>19927.454848000001</c:v>
                </c:pt>
                <c:pt idx="14">
                  <c:v>24509.898000000001</c:v>
                </c:pt>
                <c:pt idx="15">
                  <c:v>29745.938431999999</c:v>
                </c:pt>
                <c:pt idx="16">
                  <c:v>35679.149296000003</c:v>
                </c:pt>
                <c:pt idx="17">
                  <c:v>42353.103744</c:v>
                </c:pt>
                <c:pt idx="18">
                  <c:v>49811.374927999997</c:v>
                </c:pt>
                <c:pt idx="19">
                  <c:v>58097.536000000007</c:v>
                </c:pt>
                <c:pt idx="20">
                  <c:v>67255.160111999998</c:v>
                </c:pt>
                <c:pt idx="21">
                  <c:v>77327.820415999988</c:v>
                </c:pt>
                <c:pt idx="22">
                  <c:v>88359.090064000004</c:v>
                </c:pt>
                <c:pt idx="23">
                  <c:v>100392.542208</c:v>
                </c:pt>
                <c:pt idx="24">
                  <c:v>113471.75000000001</c:v>
                </c:pt>
                <c:pt idx="25">
                  <c:v>127640.286592</c:v>
                </c:pt>
                <c:pt idx="26">
                  <c:v>142941.72513599999</c:v>
                </c:pt>
                <c:pt idx="27">
                  <c:v>159419.63878400001</c:v>
                </c:pt>
                <c:pt idx="28">
                  <c:v>177117.60068800004</c:v>
                </c:pt>
                <c:pt idx="29">
                  <c:v>196079.18400000001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B4-514A-9F52-2BF8096D7E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7649856"/>
        <c:axId val="527878704"/>
      </c:lineChart>
      <c:catAx>
        <c:axId val="527649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878704"/>
        <c:crosses val="autoZero"/>
        <c:auto val="1"/>
        <c:lblAlgn val="ctr"/>
        <c:lblOffset val="100"/>
        <c:noMultiLvlLbl val="0"/>
      </c:catAx>
      <c:valAx>
        <c:axId val="52787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649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Sheet2!$A$4:$A$28</c:f>
              <c:numCache>
                <c:formatCode>General</c:formatCode>
                <c:ptCount val="25"/>
                <c:pt idx="0">
                  <c:v>193.09586985281251</c:v>
                </c:pt>
                <c:pt idx="1">
                  <c:v>288.23640047999999</c:v>
                </c:pt>
                <c:pt idx="2">
                  <c:v>562.96171968750002</c:v>
                </c:pt>
                <c:pt idx="3">
                  <c:v>972.79785162000007</c:v>
                </c:pt>
                <c:pt idx="4">
                  <c:v>1544.7669588225001</c:v>
                </c:pt>
                <c:pt idx="5">
                  <c:v>2305.8912038399999</c:v>
                </c:pt>
                <c:pt idx="6">
                  <c:v>3283.1927492175005</c:v>
                </c:pt>
                <c:pt idx="7">
                  <c:v>4503.6937575000002</c:v>
                </c:pt>
                <c:pt idx="8">
                  <c:v>5994.4163912325002</c:v>
                </c:pt>
                <c:pt idx="9">
                  <c:v>7782.3828129600006</c:v>
                </c:pt>
                <c:pt idx="10">
                  <c:v>9894.6151852274998</c:v>
                </c:pt>
                <c:pt idx="11">
                  <c:v>12358.135670580001</c:v>
                </c:pt>
                <c:pt idx="12">
                  <c:v>15199.966431562501</c:v>
                </c:pt>
                <c:pt idx="13">
                  <c:v>15199.966431562501</c:v>
                </c:pt>
                <c:pt idx="14">
                  <c:v>15199.966431562501</c:v>
                </c:pt>
                <c:pt idx="15">
                  <c:v>15199.966431562501</c:v>
                </c:pt>
                <c:pt idx="16">
                  <c:v>15199.966431562501</c:v>
                </c:pt>
                <c:pt idx="17">
                  <c:v>15199.966431562501</c:v>
                </c:pt>
                <c:pt idx="18">
                  <c:v>15199.966431562501</c:v>
                </c:pt>
                <c:pt idx="19">
                  <c:v>15199.966431562501</c:v>
                </c:pt>
                <c:pt idx="20">
                  <c:v>15199.966431562501</c:v>
                </c:pt>
                <c:pt idx="21">
                  <c:v>15199.966431562501</c:v>
                </c:pt>
                <c:pt idx="22">
                  <c:v>15199.966431562501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2B-1344-A6CD-6DBFD63358FF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Sheet2!$B$4:$B$28</c:f>
              <c:numCache>
                <c:formatCode>General</c:formatCode>
                <c:ptCount val="25"/>
                <c:pt idx="0">
                  <c:v>311.36648200000002</c:v>
                </c:pt>
                <c:pt idx="1">
                  <c:v>464.78028799999998</c:v>
                </c:pt>
                <c:pt idx="2">
                  <c:v>907.77400000000011</c:v>
                </c:pt>
                <c:pt idx="3">
                  <c:v>1568.633472</c:v>
                </c:pt>
                <c:pt idx="4">
                  <c:v>2490.9318560000002</c:v>
                </c:pt>
                <c:pt idx="5">
                  <c:v>3718.2423039999999</c:v>
                </c:pt>
                <c:pt idx="6">
                  <c:v>5294.137968</c:v>
                </c:pt>
                <c:pt idx="7">
                  <c:v>7262.1920000000009</c:v>
                </c:pt>
                <c:pt idx="8">
                  <c:v>9665.9775519999985</c:v>
                </c:pt>
                <c:pt idx="9">
                  <c:v>12549.067776</c:v>
                </c:pt>
                <c:pt idx="10">
                  <c:v>15955.035824000001</c:v>
                </c:pt>
                <c:pt idx="11">
                  <c:v>19927.454848000001</c:v>
                </c:pt>
                <c:pt idx="12">
                  <c:v>24509.898000000001</c:v>
                </c:pt>
                <c:pt idx="13">
                  <c:v>24509.898000000001</c:v>
                </c:pt>
                <c:pt idx="14">
                  <c:v>24509.898000000001</c:v>
                </c:pt>
                <c:pt idx="15">
                  <c:v>24509.898000000001</c:v>
                </c:pt>
                <c:pt idx="16">
                  <c:v>24509.898000000001</c:v>
                </c:pt>
                <c:pt idx="17">
                  <c:v>24509.898000000001</c:v>
                </c:pt>
                <c:pt idx="18">
                  <c:v>24509.898000000001</c:v>
                </c:pt>
                <c:pt idx="19">
                  <c:v>24509.898000000001</c:v>
                </c:pt>
                <c:pt idx="20">
                  <c:v>24509.898000000001</c:v>
                </c:pt>
                <c:pt idx="21">
                  <c:v>24509.898000000001</c:v>
                </c:pt>
                <c:pt idx="22">
                  <c:v>24509.898000000001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2B-1344-A6CD-6DBFD63358FF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Sheet2!$C$4:$C$28</c:f>
              <c:numCache>
                <c:formatCode>General</c:formatCode>
                <c:ptCount val="25"/>
                <c:pt idx="0">
                  <c:v>3.5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2B-1344-A6CD-6DBFD63358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7287072"/>
        <c:axId val="607302848"/>
      </c:lineChart>
      <c:catAx>
        <c:axId val="60728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302848"/>
        <c:crosses val="autoZero"/>
        <c:auto val="1"/>
        <c:lblAlgn val="ctr"/>
        <c:lblOffset val="100"/>
        <c:noMultiLvlLbl val="0"/>
      </c:catAx>
      <c:valAx>
        <c:axId val="60730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287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539750</xdr:colOff>
      <xdr:row>3</xdr:row>
      <xdr:rowOff>38100</xdr:rowOff>
    </xdr:from>
    <xdr:to>
      <xdr:col>14</xdr:col>
      <xdr:colOff>0</xdr:colOff>
      <xdr:row>25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67F65E2-70A2-E335-3B9C-84999FA07C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539750</xdr:colOff>
      <xdr:row>5</xdr:row>
      <xdr:rowOff>50800</xdr:rowOff>
    </xdr:from>
    <xdr:to>
      <xdr:col>14</xdr:col>
      <xdr:colOff>774700</xdr:colOff>
      <xdr:row>27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503BE84-BC3F-ABF4-33AF-170C95E0B0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F9404-9239-A64D-9BD1-80E321735B65}">
  <dimension ref="A1:C38"/>
  <sheetViews>
    <sheetView tabSelected="1" workbookViewId="0">
      <selection activeCell="C34" sqref="C34"/>
    </sheetView>
  </sheetViews>
  <sheetFormatPr baseColWidth="10" defaultRowHeight="16" x14ac:dyDescent="0.2"/>
  <cols>
    <col min="1" max="1" width="15.83203125" customWidth="1"/>
    <col min="2" max="2" width="22" customWidth="1"/>
  </cols>
  <sheetData>
    <row r="1" spans="1:3" x14ac:dyDescent="0.2">
      <c r="A1" t="s">
        <v>1</v>
      </c>
      <c r="B1" t="s">
        <v>0</v>
      </c>
    </row>
    <row r="2" spans="1:3" x14ac:dyDescent="0.2">
      <c r="A2" s="1">
        <f>( 1/2*1.225)*12462.66*C2^3*0.59*1/1000</f>
        <v>4.5036937574999998</v>
      </c>
      <c r="B2" s="1">
        <f xml:space="preserve"> (1/2*1.225)*20096*C2^3*0.59*1/1000</f>
        <v>7.2621919999999998</v>
      </c>
      <c r="C2">
        <v>1</v>
      </c>
    </row>
    <row r="3" spans="1:3" x14ac:dyDescent="0.2">
      <c r="A3" s="1">
        <f t="shared" ref="A3:A31" si="0">( 1/2*1.225)*12462.66*C3^3*0.59*1/1000</f>
        <v>36.029550059999998</v>
      </c>
      <c r="B3" s="1">
        <f t="shared" ref="B3:B31" si="1" xml:space="preserve"> (1/2*1.225)*20096*C3^3*0.59*1/1000</f>
        <v>58.097535999999998</v>
      </c>
      <c r="C3">
        <v>2</v>
      </c>
    </row>
    <row r="4" spans="1:3" x14ac:dyDescent="0.2">
      <c r="A4" s="1">
        <f t="shared" si="0"/>
        <v>121.59973145250001</v>
      </c>
      <c r="B4" s="1">
        <f t="shared" si="1"/>
        <v>196.079184</v>
      </c>
      <c r="C4">
        <v>3</v>
      </c>
    </row>
    <row r="5" spans="1:3" x14ac:dyDescent="0.2">
      <c r="A5" s="1">
        <f t="shared" si="0"/>
        <v>288.23640047999999</v>
      </c>
      <c r="B5" s="1">
        <f t="shared" si="1"/>
        <v>464.78028799999998</v>
      </c>
      <c r="C5">
        <v>4</v>
      </c>
    </row>
    <row r="6" spans="1:3" x14ac:dyDescent="0.2">
      <c r="A6" s="1">
        <f t="shared" si="0"/>
        <v>562.96171968750002</v>
      </c>
      <c r="B6" s="1">
        <f t="shared" si="1"/>
        <v>907.77400000000011</v>
      </c>
      <c r="C6">
        <v>5</v>
      </c>
    </row>
    <row r="7" spans="1:3" x14ac:dyDescent="0.2">
      <c r="A7" s="1">
        <f t="shared" si="0"/>
        <v>972.79785162000007</v>
      </c>
      <c r="B7" s="1">
        <f t="shared" si="1"/>
        <v>1568.633472</v>
      </c>
      <c r="C7">
        <v>6</v>
      </c>
    </row>
    <row r="8" spans="1:3" x14ac:dyDescent="0.2">
      <c r="A8" s="1">
        <f t="shared" si="0"/>
        <v>1544.7669588225001</v>
      </c>
      <c r="B8" s="1">
        <f t="shared" si="1"/>
        <v>2490.9318560000002</v>
      </c>
      <c r="C8">
        <v>7</v>
      </c>
    </row>
    <row r="9" spans="1:3" x14ac:dyDescent="0.2">
      <c r="A9" s="1">
        <f t="shared" si="0"/>
        <v>2305.8912038399999</v>
      </c>
      <c r="B9" s="1">
        <f t="shared" si="1"/>
        <v>3718.2423039999999</v>
      </c>
      <c r="C9">
        <v>8</v>
      </c>
    </row>
    <row r="10" spans="1:3" x14ac:dyDescent="0.2">
      <c r="A10" s="1">
        <f t="shared" si="0"/>
        <v>3283.1927492175005</v>
      </c>
      <c r="B10" s="1">
        <f t="shared" si="1"/>
        <v>5294.137968</v>
      </c>
      <c r="C10">
        <v>9</v>
      </c>
    </row>
    <row r="11" spans="1:3" x14ac:dyDescent="0.2">
      <c r="A11" s="1">
        <f t="shared" si="0"/>
        <v>4503.6937575000002</v>
      </c>
      <c r="B11" s="1">
        <f t="shared" si="1"/>
        <v>7262.1920000000009</v>
      </c>
      <c r="C11">
        <v>10</v>
      </c>
    </row>
    <row r="12" spans="1:3" x14ac:dyDescent="0.2">
      <c r="A12" s="1">
        <f t="shared" si="0"/>
        <v>5994.4163912325002</v>
      </c>
      <c r="B12" s="1">
        <f t="shared" si="1"/>
        <v>9665.9775519999985</v>
      </c>
      <c r="C12">
        <v>11</v>
      </c>
    </row>
    <row r="13" spans="1:3" x14ac:dyDescent="0.2">
      <c r="A13" s="1">
        <f t="shared" si="0"/>
        <v>7782.3828129600006</v>
      </c>
      <c r="B13" s="1">
        <f t="shared" si="1"/>
        <v>12549.067776</v>
      </c>
      <c r="C13">
        <v>12</v>
      </c>
    </row>
    <row r="14" spans="1:3" x14ac:dyDescent="0.2">
      <c r="A14" s="1">
        <f t="shared" si="0"/>
        <v>9894.6151852274998</v>
      </c>
      <c r="B14" s="1">
        <f t="shared" si="1"/>
        <v>15955.035824000001</v>
      </c>
      <c r="C14">
        <v>13</v>
      </c>
    </row>
    <row r="15" spans="1:3" x14ac:dyDescent="0.2">
      <c r="A15" s="1">
        <f t="shared" si="0"/>
        <v>12358.135670580001</v>
      </c>
      <c r="B15" s="1">
        <f t="shared" si="1"/>
        <v>19927.454848000001</v>
      </c>
      <c r="C15">
        <v>14</v>
      </c>
    </row>
    <row r="16" spans="1:3" x14ac:dyDescent="0.2">
      <c r="A16" s="1">
        <f t="shared" si="0"/>
        <v>15199.966431562501</v>
      </c>
      <c r="B16" s="1">
        <f t="shared" si="1"/>
        <v>24509.898000000001</v>
      </c>
      <c r="C16">
        <v>15</v>
      </c>
    </row>
    <row r="17" spans="1:3" x14ac:dyDescent="0.2">
      <c r="A17" s="1">
        <f t="shared" si="0"/>
        <v>18447.129630719999</v>
      </c>
      <c r="B17" s="1">
        <f t="shared" si="1"/>
        <v>29745.938431999999</v>
      </c>
      <c r="C17">
        <v>16</v>
      </c>
    </row>
    <row r="18" spans="1:3" x14ac:dyDescent="0.2">
      <c r="A18" s="1">
        <f t="shared" si="0"/>
        <v>22126.647430597503</v>
      </c>
      <c r="B18" s="1">
        <f t="shared" si="1"/>
        <v>35679.149296000003</v>
      </c>
      <c r="C18">
        <v>17</v>
      </c>
    </row>
    <row r="19" spans="1:3" x14ac:dyDescent="0.2">
      <c r="A19" s="1">
        <f t="shared" si="0"/>
        <v>26265.541993740004</v>
      </c>
      <c r="B19" s="1">
        <f t="shared" si="1"/>
        <v>42353.103744</v>
      </c>
      <c r="C19">
        <v>18</v>
      </c>
    </row>
    <row r="20" spans="1:3" x14ac:dyDescent="0.2">
      <c r="A20" s="1">
        <f t="shared" si="0"/>
        <v>30890.835482692502</v>
      </c>
      <c r="B20" s="1">
        <f t="shared" si="1"/>
        <v>49811.374927999997</v>
      </c>
      <c r="C20">
        <v>19</v>
      </c>
    </row>
    <row r="21" spans="1:3" x14ac:dyDescent="0.2">
      <c r="A21" s="1">
        <f t="shared" si="0"/>
        <v>36029.550060000001</v>
      </c>
      <c r="B21" s="1">
        <f t="shared" si="1"/>
        <v>58097.536000000007</v>
      </c>
      <c r="C21">
        <v>20</v>
      </c>
    </row>
    <row r="22" spans="1:3" x14ac:dyDescent="0.2">
      <c r="A22" s="1">
        <f t="shared" si="0"/>
        <v>41708.7078882075</v>
      </c>
      <c r="B22" s="1">
        <f t="shared" si="1"/>
        <v>67255.160111999998</v>
      </c>
      <c r="C22">
        <v>21</v>
      </c>
    </row>
    <row r="23" spans="1:3" x14ac:dyDescent="0.2">
      <c r="A23" s="1">
        <f t="shared" si="0"/>
        <v>47955.331129860002</v>
      </c>
      <c r="B23" s="1">
        <f t="shared" si="1"/>
        <v>77327.820415999988</v>
      </c>
      <c r="C23">
        <v>22</v>
      </c>
    </row>
    <row r="24" spans="1:3" x14ac:dyDescent="0.2">
      <c r="A24" s="1">
        <f t="shared" si="0"/>
        <v>54796.441947502499</v>
      </c>
      <c r="B24" s="1">
        <f t="shared" si="1"/>
        <v>88359.090064000004</v>
      </c>
      <c r="C24">
        <v>23</v>
      </c>
    </row>
    <row r="25" spans="1:3" x14ac:dyDescent="0.2">
      <c r="A25" s="1">
        <f t="shared" si="0"/>
        <v>62259.062503680005</v>
      </c>
      <c r="B25" s="1">
        <f t="shared" si="1"/>
        <v>100392.542208</v>
      </c>
      <c r="C25">
        <v>24</v>
      </c>
    </row>
    <row r="26" spans="1:3" x14ac:dyDescent="0.2">
      <c r="A26" s="1">
        <f t="shared" si="0"/>
        <v>70370.214960937505</v>
      </c>
      <c r="B26" s="1">
        <f t="shared" si="1"/>
        <v>113471.75000000001</v>
      </c>
      <c r="C26">
        <v>25</v>
      </c>
    </row>
    <row r="27" spans="1:3" x14ac:dyDescent="0.2">
      <c r="A27" s="1">
        <f t="shared" si="0"/>
        <v>79156.921481819998</v>
      </c>
      <c r="B27" s="1">
        <f t="shared" si="1"/>
        <v>127640.286592</v>
      </c>
      <c r="C27">
        <v>26</v>
      </c>
    </row>
    <row r="28" spans="1:3" x14ac:dyDescent="0.2">
      <c r="A28" s="1">
        <f t="shared" si="0"/>
        <v>88646.204228872506</v>
      </c>
      <c r="B28" s="1">
        <f t="shared" si="1"/>
        <v>142941.72513599999</v>
      </c>
      <c r="C28">
        <v>27</v>
      </c>
    </row>
    <row r="29" spans="1:3" x14ac:dyDescent="0.2">
      <c r="A29" s="1">
        <f t="shared" si="0"/>
        <v>98865.085364640006</v>
      </c>
      <c r="B29" s="1">
        <f t="shared" si="1"/>
        <v>159419.63878400001</v>
      </c>
      <c r="C29">
        <v>28</v>
      </c>
    </row>
    <row r="30" spans="1:3" x14ac:dyDescent="0.2">
      <c r="A30" s="1">
        <f t="shared" si="0"/>
        <v>109840.58705166749</v>
      </c>
      <c r="B30" s="1">
        <f t="shared" si="1"/>
        <v>177117.60068800004</v>
      </c>
      <c r="C30">
        <v>29</v>
      </c>
    </row>
    <row r="31" spans="1:3" x14ac:dyDescent="0.2">
      <c r="A31" s="1">
        <f t="shared" si="0"/>
        <v>121599.73145250001</v>
      </c>
      <c r="B31" s="1">
        <f t="shared" si="1"/>
        <v>196079.18400000001</v>
      </c>
      <c r="C31">
        <v>30</v>
      </c>
    </row>
    <row r="33" spans="1:2" x14ac:dyDescent="0.2">
      <c r="A33" t="s">
        <v>2</v>
      </c>
      <c r="B33">
        <v>1.2250000000000001</v>
      </c>
    </row>
    <row r="34" spans="1:2" x14ac:dyDescent="0.2">
      <c r="A34" t="s">
        <v>3</v>
      </c>
      <c r="B34">
        <v>0.59</v>
      </c>
    </row>
    <row r="35" spans="1:2" x14ac:dyDescent="0.2">
      <c r="A35" t="s">
        <v>4</v>
      </c>
      <c r="B35">
        <v>126</v>
      </c>
    </row>
    <row r="36" spans="1:2" x14ac:dyDescent="0.2">
      <c r="A36" t="s">
        <v>5</v>
      </c>
      <c r="B36">
        <v>160</v>
      </c>
    </row>
    <row r="37" spans="1:2" x14ac:dyDescent="0.2">
      <c r="A37" t="s">
        <v>6</v>
      </c>
      <c r="B37">
        <f xml:space="preserve"> 3.14*(B35/2)^2</f>
        <v>12462.66</v>
      </c>
    </row>
    <row r="38" spans="1:2" x14ac:dyDescent="0.2">
      <c r="A38" t="s">
        <v>7</v>
      </c>
      <c r="B38">
        <f xml:space="preserve"> 3.14*(B36/2)^2</f>
        <v>20096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E099F-A893-024C-8986-45FCE08CF138}">
  <dimension ref="A1:C38"/>
  <sheetViews>
    <sheetView workbookViewId="0">
      <selection activeCell="A29" sqref="A29"/>
    </sheetView>
  </sheetViews>
  <sheetFormatPr baseColWidth="10" defaultRowHeight="16" x14ac:dyDescent="0.2"/>
  <cols>
    <col min="1" max="1" width="22.83203125" customWidth="1"/>
    <col min="2" max="2" width="33.33203125" customWidth="1"/>
  </cols>
  <sheetData>
    <row r="1" spans="1:3" x14ac:dyDescent="0.2">
      <c r="A1" t="s">
        <v>1</v>
      </c>
      <c r="B1" t="s">
        <v>0</v>
      </c>
    </row>
    <row r="2" spans="1:3" ht="11" customHeight="1" x14ac:dyDescent="0.2"/>
    <row r="4" spans="1:3" x14ac:dyDescent="0.2">
      <c r="A4">
        <f t="shared" ref="A3:A31" si="0">( 1/2*1.225)*12462.66*C4^3*0.59*1/1000</f>
        <v>193.09586985281251</v>
      </c>
      <c r="B4">
        <f xml:space="preserve"> (1/2*1.225)*20096*C4^3*0.59*1/1000</f>
        <v>311.36648200000002</v>
      </c>
      <c r="C4">
        <v>3.5</v>
      </c>
    </row>
    <row r="5" spans="1:3" x14ac:dyDescent="0.2">
      <c r="A5">
        <f t="shared" si="0"/>
        <v>288.23640047999999</v>
      </c>
      <c r="B5">
        <f t="shared" ref="B5:B26" si="1" xml:space="preserve"> (1/2*1.225)*20096*C5^3*0.59*1/1000</f>
        <v>464.78028799999998</v>
      </c>
      <c r="C5">
        <v>4</v>
      </c>
    </row>
    <row r="6" spans="1:3" x14ac:dyDescent="0.2">
      <c r="A6">
        <f t="shared" si="0"/>
        <v>562.96171968750002</v>
      </c>
      <c r="B6">
        <f t="shared" si="1"/>
        <v>907.77400000000011</v>
      </c>
      <c r="C6">
        <v>5</v>
      </c>
    </row>
    <row r="7" spans="1:3" x14ac:dyDescent="0.2">
      <c r="A7">
        <f t="shared" si="0"/>
        <v>972.79785162000007</v>
      </c>
      <c r="B7">
        <f t="shared" si="1"/>
        <v>1568.633472</v>
      </c>
      <c r="C7">
        <v>6</v>
      </c>
    </row>
    <row r="8" spans="1:3" x14ac:dyDescent="0.2">
      <c r="A8">
        <f t="shared" si="0"/>
        <v>1544.7669588225001</v>
      </c>
      <c r="B8">
        <f t="shared" si="1"/>
        <v>2490.9318560000002</v>
      </c>
      <c r="C8">
        <v>7</v>
      </c>
    </row>
    <row r="9" spans="1:3" x14ac:dyDescent="0.2">
      <c r="A9">
        <f t="shared" si="0"/>
        <v>2305.8912038399999</v>
      </c>
      <c r="B9">
        <f t="shared" si="1"/>
        <v>3718.2423039999999</v>
      </c>
      <c r="C9">
        <v>8</v>
      </c>
    </row>
    <row r="10" spans="1:3" x14ac:dyDescent="0.2">
      <c r="A10">
        <f t="shared" si="0"/>
        <v>3283.1927492175005</v>
      </c>
      <c r="B10">
        <f t="shared" si="1"/>
        <v>5294.137968</v>
      </c>
      <c r="C10">
        <v>9</v>
      </c>
    </row>
    <row r="11" spans="1:3" x14ac:dyDescent="0.2">
      <c r="A11">
        <f t="shared" si="0"/>
        <v>4503.6937575000002</v>
      </c>
      <c r="B11">
        <f t="shared" si="1"/>
        <v>7262.1920000000009</v>
      </c>
      <c r="C11">
        <v>10</v>
      </c>
    </row>
    <row r="12" spans="1:3" x14ac:dyDescent="0.2">
      <c r="A12">
        <f t="shared" si="0"/>
        <v>5994.4163912325002</v>
      </c>
      <c r="B12">
        <f t="shared" si="1"/>
        <v>9665.9775519999985</v>
      </c>
      <c r="C12">
        <v>11</v>
      </c>
    </row>
    <row r="13" spans="1:3" x14ac:dyDescent="0.2">
      <c r="A13">
        <f t="shared" si="0"/>
        <v>7782.3828129600006</v>
      </c>
      <c r="B13">
        <f t="shared" si="1"/>
        <v>12549.067776</v>
      </c>
      <c r="C13">
        <v>12</v>
      </c>
    </row>
    <row r="14" spans="1:3" x14ac:dyDescent="0.2">
      <c r="A14">
        <f t="shared" si="0"/>
        <v>9894.6151852274998</v>
      </c>
      <c r="B14">
        <f t="shared" si="1"/>
        <v>15955.035824000001</v>
      </c>
      <c r="C14">
        <v>13</v>
      </c>
    </row>
    <row r="15" spans="1:3" x14ac:dyDescent="0.2">
      <c r="A15">
        <f t="shared" si="0"/>
        <v>12358.135670580001</v>
      </c>
      <c r="B15">
        <f t="shared" si="1"/>
        <v>19927.454848000001</v>
      </c>
      <c r="C15">
        <v>14</v>
      </c>
    </row>
    <row r="16" spans="1:3" x14ac:dyDescent="0.2">
      <c r="A16">
        <f t="shared" si="0"/>
        <v>15199.966431562501</v>
      </c>
      <c r="B16">
        <f xml:space="preserve"> (1/2*1.225)*20096*C16^3*0.59*1/1000</f>
        <v>24509.898000000001</v>
      </c>
      <c r="C16">
        <v>15</v>
      </c>
    </row>
    <row r="17" spans="1:3" x14ac:dyDescent="0.2">
      <c r="A17">
        <f xml:space="preserve"> $A$16</f>
        <v>15199.966431562501</v>
      </c>
      <c r="B17">
        <f xml:space="preserve"> $B$16</f>
        <v>24509.898000000001</v>
      </c>
      <c r="C17">
        <v>16</v>
      </c>
    </row>
    <row r="18" spans="1:3" x14ac:dyDescent="0.2">
      <c r="A18">
        <f t="shared" ref="A18:A26" si="2" xml:space="preserve"> $A$16</f>
        <v>15199.966431562501</v>
      </c>
      <c r="B18">
        <f>$B$16</f>
        <v>24509.898000000001</v>
      </c>
      <c r="C18">
        <v>17</v>
      </c>
    </row>
    <row r="19" spans="1:3" x14ac:dyDescent="0.2">
      <c r="A19">
        <f t="shared" si="2"/>
        <v>15199.966431562501</v>
      </c>
      <c r="B19">
        <f t="shared" ref="B19:B26" si="3">$B$16</f>
        <v>24509.898000000001</v>
      </c>
      <c r="C19">
        <v>18</v>
      </c>
    </row>
    <row r="20" spans="1:3" x14ac:dyDescent="0.2">
      <c r="A20">
        <f t="shared" si="2"/>
        <v>15199.966431562501</v>
      </c>
      <c r="B20">
        <f t="shared" si="3"/>
        <v>24509.898000000001</v>
      </c>
      <c r="C20">
        <v>19</v>
      </c>
    </row>
    <row r="21" spans="1:3" x14ac:dyDescent="0.2">
      <c r="A21">
        <f t="shared" si="2"/>
        <v>15199.966431562501</v>
      </c>
      <c r="B21">
        <f t="shared" si="3"/>
        <v>24509.898000000001</v>
      </c>
      <c r="C21">
        <v>20</v>
      </c>
    </row>
    <row r="22" spans="1:3" x14ac:dyDescent="0.2">
      <c r="A22">
        <f t="shared" si="2"/>
        <v>15199.966431562501</v>
      </c>
      <c r="B22">
        <f t="shared" si="3"/>
        <v>24509.898000000001</v>
      </c>
      <c r="C22">
        <v>21</v>
      </c>
    </row>
    <row r="23" spans="1:3" x14ac:dyDescent="0.2">
      <c r="A23">
        <f t="shared" si="2"/>
        <v>15199.966431562501</v>
      </c>
      <c r="B23">
        <f t="shared" si="3"/>
        <v>24509.898000000001</v>
      </c>
      <c r="C23">
        <v>22</v>
      </c>
    </row>
    <row r="24" spans="1:3" x14ac:dyDescent="0.2">
      <c r="A24">
        <f t="shared" si="2"/>
        <v>15199.966431562501</v>
      </c>
      <c r="B24">
        <f t="shared" si="3"/>
        <v>24509.898000000001</v>
      </c>
      <c r="C24">
        <v>23</v>
      </c>
    </row>
    <row r="25" spans="1:3" x14ac:dyDescent="0.2">
      <c r="A25">
        <f t="shared" si="2"/>
        <v>15199.966431562501</v>
      </c>
      <c r="B25">
        <f t="shared" si="3"/>
        <v>24509.898000000001</v>
      </c>
      <c r="C25">
        <v>24</v>
      </c>
    </row>
    <row r="26" spans="1:3" x14ac:dyDescent="0.2">
      <c r="A26">
        <f t="shared" si="2"/>
        <v>15199.966431562501</v>
      </c>
      <c r="B26">
        <f t="shared" si="3"/>
        <v>24509.898000000001</v>
      </c>
      <c r="C26">
        <v>25</v>
      </c>
    </row>
    <row r="27" spans="1:3" x14ac:dyDescent="0.2">
      <c r="A27">
        <v>0</v>
      </c>
      <c r="B27">
        <v>0</v>
      </c>
    </row>
    <row r="28" spans="1:3" x14ac:dyDescent="0.2">
      <c r="A28">
        <v>0</v>
      </c>
      <c r="B28">
        <v>0</v>
      </c>
    </row>
    <row r="33" spans="1:2" x14ac:dyDescent="0.2">
      <c r="A33" t="s">
        <v>2</v>
      </c>
      <c r="B33">
        <v>1.2250000000000001</v>
      </c>
    </row>
    <row r="34" spans="1:2" x14ac:dyDescent="0.2">
      <c r="A34" t="s">
        <v>3</v>
      </c>
      <c r="B34">
        <v>0.59</v>
      </c>
    </row>
    <row r="35" spans="1:2" x14ac:dyDescent="0.2">
      <c r="A35" t="s">
        <v>4</v>
      </c>
      <c r="B35">
        <v>126</v>
      </c>
    </row>
    <row r="36" spans="1:2" x14ac:dyDescent="0.2">
      <c r="A36" t="s">
        <v>5</v>
      </c>
      <c r="B36">
        <v>160</v>
      </c>
    </row>
    <row r="37" spans="1:2" x14ac:dyDescent="0.2">
      <c r="A37" t="s">
        <v>6</v>
      </c>
      <c r="B37">
        <f xml:space="preserve"> 3.14*(B35/2)^2</f>
        <v>12462.66</v>
      </c>
    </row>
    <row r="38" spans="1:2" x14ac:dyDescent="0.2">
      <c r="A38" t="s">
        <v>7</v>
      </c>
      <c r="B38">
        <f xml:space="preserve"> 3.14*(B36/2)^2</f>
        <v>20096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Pozytko, Olivia</dc:creator>
  <cp:lastModifiedBy>Pozytko, Olivia</cp:lastModifiedBy>
  <dcterms:created xsi:type="dcterms:W3CDTF">2026-10-19T13:20:10Z</dcterms:created>
  <dcterms:modified xsi:type="dcterms:W3CDTF">2026-10-19T16:37:46Z</dcterms:modified>
</cp:coreProperties>
</file>